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5ae3437eba5ce9a/Desktop/manu/"/>
    </mc:Choice>
  </mc:AlternateContent>
  <xr:revisionPtr revIDLastSave="532" documentId="8_{46F4341F-0054-4E0D-B4E5-9905CC744F63}" xr6:coauthVersionLast="47" xr6:coauthVersionMax="47" xr10:uidLastSave="{2341AEA4-9502-409A-97F3-6E315A5434F1}"/>
  <bookViews>
    <workbookView xWindow="-108" yWindow="-108" windowWidth="23256" windowHeight="12456" activeTab="5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7" sheetId="8" r:id="rId5"/>
    <sheet name="Dashboard" sheetId="9" r:id="rId6"/>
    <sheet name="EcommerceData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</calcChain>
</file>

<file path=xl/sharedStrings.xml><?xml version="1.0" encoding="utf-8"?>
<sst xmlns="http://schemas.openxmlformats.org/spreadsheetml/2006/main" count="165" uniqueCount="106">
  <si>
    <t>Order ID</t>
  </si>
  <si>
    <t>Order Date</t>
  </si>
  <si>
    <t>Customer Name</t>
  </si>
  <si>
    <t>Region</t>
  </si>
  <si>
    <t>Category</t>
  </si>
  <si>
    <t>Sub Category</t>
  </si>
  <si>
    <t>Product Name</t>
  </si>
  <si>
    <t>Sales</t>
  </si>
  <si>
    <t>Quantity</t>
  </si>
  <si>
    <t>Profit</t>
  </si>
  <si>
    <t>Discount</t>
  </si>
  <si>
    <t>Shipping Mode</t>
  </si>
  <si>
    <t>ORD1001</t>
  </si>
  <si>
    <t>01-01-2025</t>
  </si>
  <si>
    <t>Rahul Sharma</t>
  </si>
  <si>
    <t>North</t>
  </si>
  <si>
    <t>Electronics</t>
  </si>
  <si>
    <t>Mobile</t>
  </si>
  <si>
    <t>Samsung Galaxy A15</t>
  </si>
  <si>
    <t>Standard</t>
  </si>
  <si>
    <t>ORD1002</t>
  </si>
  <si>
    <t>Priya Reddy</t>
  </si>
  <si>
    <t>South</t>
  </si>
  <si>
    <t>Furniture</t>
  </si>
  <si>
    <t>Chair</t>
  </si>
  <si>
    <t>Office Chair</t>
  </si>
  <si>
    <t>Express</t>
  </si>
  <si>
    <t>ORD1003</t>
  </si>
  <si>
    <t>03-01-2025</t>
  </si>
  <si>
    <t>Amit Kumar</t>
  </si>
  <si>
    <t>East</t>
  </si>
  <si>
    <t>Office Supplies</t>
  </si>
  <si>
    <t>Notebook</t>
  </si>
  <si>
    <t>Spiral Notebook</t>
  </si>
  <si>
    <t>ORD1004</t>
  </si>
  <si>
    <t>Sneha Patel</t>
  </si>
  <si>
    <t>West</t>
  </si>
  <si>
    <t>Laptop</t>
  </si>
  <si>
    <t>HP Pavilion Laptop</t>
  </si>
  <si>
    <t>Same Day</t>
  </si>
  <si>
    <t>ORD1005</t>
  </si>
  <si>
    <t>05-01-2025</t>
  </si>
  <si>
    <t>Arjun Singh</t>
  </si>
  <si>
    <t>Table</t>
  </si>
  <si>
    <t>Wooden Study Table</t>
  </si>
  <si>
    <t>ORD1006</t>
  </si>
  <si>
    <t>Kavya Rao</t>
  </si>
  <si>
    <t>Headphones</t>
  </si>
  <si>
    <t>Sony Headphones</t>
  </si>
  <si>
    <t>ORD1007</t>
  </si>
  <si>
    <t>08-01-2025</t>
  </si>
  <si>
    <t>Rohit Verma</t>
  </si>
  <si>
    <t>Printer</t>
  </si>
  <si>
    <t>HP Inkjet Printer</t>
  </si>
  <si>
    <t>ORD1008</t>
  </si>
  <si>
    <t>Neha Gupta</t>
  </si>
  <si>
    <t>Smartwatch</t>
  </si>
  <si>
    <t>Noise Smartwatch</t>
  </si>
  <si>
    <t>ORD1009</t>
  </si>
  <si>
    <t>10-01-2025</t>
  </si>
  <si>
    <t>Anil Das</t>
  </si>
  <si>
    <t>Sofa</t>
  </si>
  <si>
    <t>Three Seater Sofa</t>
  </si>
  <si>
    <t>ORD1010</t>
  </si>
  <si>
    <t>11-01-2025</t>
  </si>
  <si>
    <t>Pooja Nair</t>
  </si>
  <si>
    <t>Pen</t>
  </si>
  <si>
    <t>Parker Pen Set</t>
  </si>
  <si>
    <t>ORD1011</t>
  </si>
  <si>
    <t>12-01-2025</t>
  </si>
  <si>
    <t>Vivek Jain</t>
  </si>
  <si>
    <t>Tablet</t>
  </si>
  <si>
    <t>Lenovo Tablet</t>
  </si>
  <si>
    <t>ORD1012</t>
  </si>
  <si>
    <t>Meera Iyer</t>
  </si>
  <si>
    <t>Bookcase</t>
  </si>
  <si>
    <t>Wooden Bookcase</t>
  </si>
  <si>
    <t>ORD1013</t>
  </si>
  <si>
    <t>14-01-2025</t>
  </si>
  <si>
    <t>Kiran Raju</t>
  </si>
  <si>
    <t>Camera</t>
  </si>
  <si>
    <t>Canon Camera</t>
  </si>
  <si>
    <t>ORD1014</t>
  </si>
  <si>
    <t>Divya Shah</t>
  </si>
  <si>
    <t>Marker</t>
  </si>
  <si>
    <t>Whiteboard Marker</t>
  </si>
  <si>
    <t>ORD1015</t>
  </si>
  <si>
    <t>16-01-2025</t>
  </si>
  <si>
    <t>Suresh Babu</t>
  </si>
  <si>
    <t>Desk</t>
  </si>
  <si>
    <t>Computer Desk</t>
  </si>
  <si>
    <t>Month</t>
  </si>
  <si>
    <t>Year</t>
  </si>
  <si>
    <t>Profit Margin %</t>
  </si>
  <si>
    <t>Row Labels</t>
  </si>
  <si>
    <t>Grand Total</t>
  </si>
  <si>
    <t>Sum of Sales</t>
  </si>
  <si>
    <t>January</t>
  </si>
  <si>
    <t>Sum of Profit</t>
  </si>
  <si>
    <t>February</t>
  </si>
  <si>
    <t>March</t>
  </si>
  <si>
    <t>May</t>
  </si>
  <si>
    <t>July</t>
  </si>
  <si>
    <t>October</t>
  </si>
  <si>
    <t>November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</si>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</sst>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48"/>
      <color theme="1"/>
      <name val="Franklin Gothic Heavy"/>
      <family val="2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2540</c:v>
                </c:pt>
                <c:pt idx="1">
                  <c:v>1855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4-4306-87E7-C7634879B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488224"/>
        <c:axId val="1077487264"/>
      </c:barChart>
      <c:catAx>
        <c:axId val="10774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87264"/>
        <c:crosses val="autoZero"/>
        <c:auto val="1"/>
        <c:lblAlgn val="ctr"/>
        <c:lblOffset val="100"/>
        <c:noMultiLvlLbl val="0"/>
      </c:catAx>
      <c:valAx>
        <c:axId val="10774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8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960</c:v>
                </c:pt>
                <c:pt idx="1">
                  <c:v>2000</c:v>
                </c:pt>
                <c:pt idx="2">
                  <c:v>385</c:v>
                </c:pt>
                <c:pt idx="3">
                  <c:v>1390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2-4066-8375-350A4576A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7482944"/>
        <c:axId val="964754016"/>
      </c:barChart>
      <c:catAx>
        <c:axId val="107748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54016"/>
        <c:crosses val="autoZero"/>
        <c:auto val="1"/>
        <c:lblAlgn val="ctr"/>
        <c:lblOffset val="100"/>
        <c:noMultiLvlLbl val="0"/>
      </c:catAx>
      <c:valAx>
        <c:axId val="96475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8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Shipping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91-498E-823F-FA1094488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91-498E-823F-FA1094488E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91-498E-823F-FA1094488EF7}"/>
              </c:ext>
            </c:extLst>
          </c:dPt>
          <c:cat>
            <c:strRef>
              <c:f>Sheet3!$A$4:$A$7</c:f>
              <c:strCache>
                <c:ptCount val="3"/>
                <c:pt idx="0">
                  <c:v>Express</c:v>
                </c:pt>
                <c:pt idx="1">
                  <c:v>Same Day</c:v>
                </c:pt>
                <c:pt idx="2">
                  <c:v>Standard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995</c:v>
                </c:pt>
                <c:pt idx="1">
                  <c:v>1965</c:v>
                </c:pt>
                <c:pt idx="2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3-482A-8297-D55974553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May</c:v>
                </c:pt>
                <c:pt idx="4">
                  <c:v>July</c:v>
                </c:pt>
                <c:pt idx="5">
                  <c:v>October</c:v>
                </c:pt>
                <c:pt idx="6">
                  <c:v>November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3015</c:v>
                </c:pt>
                <c:pt idx="1">
                  <c:v>180</c:v>
                </c:pt>
                <c:pt idx="2">
                  <c:v>890</c:v>
                </c:pt>
                <c:pt idx="3">
                  <c:v>120</c:v>
                </c:pt>
                <c:pt idx="4">
                  <c:v>160</c:v>
                </c:pt>
                <c:pt idx="5">
                  <c:v>340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5-452A-B566-B78C2CE11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535040"/>
        <c:axId val="1477538880"/>
      </c:lineChart>
      <c:catAx>
        <c:axId val="147753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38880"/>
        <c:crosses val="autoZero"/>
        <c:auto val="1"/>
        <c:lblAlgn val="ctr"/>
        <c:lblOffset val="100"/>
        <c:noMultiLvlLbl val="0"/>
      </c:catAx>
      <c:valAx>
        <c:axId val="14775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3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381</c:v>
                </c:pt>
                <c:pt idx="1">
                  <c:v>276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C-4F71-B2BE-48CD01EBF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541760"/>
        <c:axId val="1477542720"/>
      </c:barChart>
      <c:catAx>
        <c:axId val="14775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42720"/>
        <c:crosses val="autoZero"/>
        <c:auto val="1"/>
        <c:lblAlgn val="ctr"/>
        <c:lblOffset val="100"/>
        <c:noMultiLvlLbl val="0"/>
      </c:catAx>
      <c:valAx>
        <c:axId val="14775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4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Sales</a:t>
            </a:r>
            <a:r>
              <a:rPr lang="en-US" sz="2800" baseline="0"/>
              <a:t> by Category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19652664562304"/>
          <c:y val="0.15060060060060063"/>
          <c:w val="0.68980974019216756"/>
          <c:h val="0.69825691833565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2540</c:v>
                </c:pt>
                <c:pt idx="1">
                  <c:v>1855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D-4766-8021-CE70FBF02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7488224"/>
        <c:axId val="1077487264"/>
      </c:barChart>
      <c:catAx>
        <c:axId val="10774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87264"/>
        <c:crosses val="autoZero"/>
        <c:auto val="1"/>
        <c:lblAlgn val="ctr"/>
        <c:lblOffset val="100"/>
        <c:noMultiLvlLbl val="0"/>
      </c:catAx>
      <c:valAx>
        <c:axId val="107748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Sales</a:t>
            </a:r>
            <a:r>
              <a:rPr lang="en-US" sz="2800" b="1" baseline="0"/>
              <a:t> by Region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78322426178065"/>
          <c:y val="0.17619537773193297"/>
          <c:w val="0.65721163040829766"/>
          <c:h val="0.721120658883726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960</c:v>
                </c:pt>
                <c:pt idx="1">
                  <c:v>2000</c:v>
                </c:pt>
                <c:pt idx="2">
                  <c:v>385</c:v>
                </c:pt>
                <c:pt idx="3">
                  <c:v>1390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9-4650-9ACB-37BE34E196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7482944"/>
        <c:axId val="964754016"/>
      </c:barChart>
      <c:catAx>
        <c:axId val="107748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54016"/>
        <c:crosses val="autoZero"/>
        <c:auto val="1"/>
        <c:lblAlgn val="ctr"/>
        <c:lblOffset val="100"/>
        <c:noMultiLvlLbl val="0"/>
      </c:catAx>
      <c:valAx>
        <c:axId val="9647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8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Shipping Mode</a:t>
            </a:r>
          </a:p>
        </c:rich>
      </c:tx>
      <c:layout>
        <c:manualLayout>
          <c:xMode val="edge"/>
          <c:yMode val="edge"/>
          <c:x val="0.25205110283740373"/>
          <c:y val="2.9120878140972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90-4FDD-BD78-F44D0F233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90-4FDD-BD78-F44D0F233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90-4FDD-BD78-F44D0F233491}"/>
              </c:ext>
            </c:extLst>
          </c:dPt>
          <c:cat>
            <c:strRef>
              <c:f>Sheet3!$A$4:$A$7</c:f>
              <c:strCache>
                <c:ptCount val="3"/>
                <c:pt idx="0">
                  <c:v>Express</c:v>
                </c:pt>
                <c:pt idx="1">
                  <c:v>Same Day</c:v>
                </c:pt>
                <c:pt idx="2">
                  <c:v>Standard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995</c:v>
                </c:pt>
                <c:pt idx="1">
                  <c:v>1965</c:v>
                </c:pt>
                <c:pt idx="2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90-4FDD-BD78-F44D0F233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459735146743025E-2"/>
          <c:y val="0.14856472411298569"/>
          <c:w val="0.72608530183727038"/>
          <c:h val="0.60928951589384661"/>
        </c:manualLayout>
      </c:layout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May</c:v>
                </c:pt>
                <c:pt idx="4">
                  <c:v>July</c:v>
                </c:pt>
                <c:pt idx="5">
                  <c:v>October</c:v>
                </c:pt>
                <c:pt idx="6">
                  <c:v>November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3015</c:v>
                </c:pt>
                <c:pt idx="1">
                  <c:v>180</c:v>
                </c:pt>
                <c:pt idx="2">
                  <c:v>890</c:v>
                </c:pt>
                <c:pt idx="3">
                  <c:v>120</c:v>
                </c:pt>
                <c:pt idx="4">
                  <c:v>160</c:v>
                </c:pt>
                <c:pt idx="5">
                  <c:v>340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F-41AF-BF11-EA3DF646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535040"/>
        <c:axId val="1477538880"/>
      </c:lineChart>
      <c:catAx>
        <c:axId val="147753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38880"/>
        <c:crosses val="autoZero"/>
        <c:auto val="1"/>
        <c:lblAlgn val="ctr"/>
        <c:lblOffset val="100"/>
        <c:noMultiLvlLbl val="0"/>
      </c:catAx>
      <c:valAx>
        <c:axId val="14775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3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[Ecommerce_Project.xlsx]Sheet7!PivotTable7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Profit</a:t>
            </a:r>
            <a:r>
              <a:rPr lang="en-US" sz="2800" baseline="0"/>
              <a:t> by Category</a:t>
            </a:r>
            <a:endParaRPr lang="en-US" sz="2800"/>
          </a:p>
        </c:rich>
      </c:tx>
      <c:layout>
        <c:manualLayout>
          <c:xMode val="edge"/>
          <c:yMode val="edge"/>
          <c:x val="0.33739237563202129"/>
          <c:y val="5.0173598922761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790233344996087E-2"/>
          <c:y val="0.18483231427999586"/>
          <c:w val="0.92106378749603357"/>
          <c:h val="0.7139386267529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381</c:v>
                </c:pt>
                <c:pt idx="1">
                  <c:v>276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6-4B08-8CB3-A8E090904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541760"/>
        <c:axId val="1477542720"/>
      </c:barChart>
      <c:catAx>
        <c:axId val="14775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42720"/>
        <c:crosses val="autoZero"/>
        <c:auto val="1"/>
        <c:lblAlgn val="ctr"/>
        <c:lblOffset val="100"/>
        <c:noMultiLvlLbl val="0"/>
      </c:catAx>
      <c:valAx>
        <c:axId val="147754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4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6</xdr:row>
      <xdr:rowOff>45720</xdr:rowOff>
    </xdr:from>
    <xdr:to>
      <xdr:col>11</xdr:col>
      <xdr:colOff>518160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4FF42-53DB-EF8A-E7E3-D1F388650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6</xdr:row>
      <xdr:rowOff>41910</xdr:rowOff>
    </xdr:from>
    <xdr:to>
      <xdr:col>12</xdr:col>
      <xdr:colOff>68580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47D85-97DD-8DE2-1D4E-98DB6B2DF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6</xdr:row>
      <xdr:rowOff>45720</xdr:rowOff>
    </xdr:from>
    <xdr:to>
      <xdr:col>12</xdr:col>
      <xdr:colOff>68580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C7BBB-EC3A-A237-B6B2-48749C7D0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45720</xdr:rowOff>
    </xdr:from>
    <xdr:to>
      <xdr:col>11</xdr:col>
      <xdr:colOff>556260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8C2B5-76E1-93A5-D536-A4F591707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6</xdr:row>
      <xdr:rowOff>45720</xdr:rowOff>
    </xdr:from>
    <xdr:to>
      <xdr:col>12</xdr:col>
      <xdr:colOff>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3481E-7C51-BF7D-BC34-50371CDCC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19</xdr:row>
      <xdr:rowOff>106326</xdr:rowOff>
    </xdr:from>
    <xdr:to>
      <xdr:col>11</xdr:col>
      <xdr:colOff>5193901</xdr:colOff>
      <xdr:row>43</xdr:row>
      <xdr:rowOff>88606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841A5-C1FC-4679-9441-200E74AB6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318977</xdr:colOff>
      <xdr:row>48</xdr:row>
      <xdr:rowOff>124046</xdr:rowOff>
    </xdr:from>
    <xdr:to>
      <xdr:col>13</xdr:col>
      <xdr:colOff>319706</xdr:colOff>
      <xdr:row>71</xdr:row>
      <xdr:rowOff>159488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68597B-DA1E-49C9-B735-5BD13BBF1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6442744</xdr:colOff>
      <xdr:row>19</xdr:row>
      <xdr:rowOff>106325</xdr:rowOff>
    </xdr:from>
    <xdr:to>
      <xdr:col>26</xdr:col>
      <xdr:colOff>425302</xdr:colOff>
      <xdr:row>43</xdr:row>
      <xdr:rowOff>33123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5A6E50-C3E4-4729-8F20-E5EE40D61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155488</xdr:colOff>
      <xdr:row>19</xdr:row>
      <xdr:rowOff>0</xdr:rowOff>
    </xdr:from>
    <xdr:to>
      <xdr:col>45</xdr:col>
      <xdr:colOff>70884</xdr:colOff>
      <xdr:row>41</xdr:row>
      <xdr:rowOff>150492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4DA757-6CDF-49C5-9D0E-8FFADF3DC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86265</xdr:colOff>
      <xdr:row>48</xdr:row>
      <xdr:rowOff>159488</xdr:rowOff>
    </xdr:from>
    <xdr:to>
      <xdr:col>31</xdr:col>
      <xdr:colOff>496186</xdr:colOff>
      <xdr:row>72</xdr:row>
      <xdr:rowOff>17721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AE4469-6FB6-43FB-A1FC-EFC428490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387934</xdr:colOff>
      <xdr:row>7</xdr:row>
      <xdr:rowOff>82826</xdr:rowOff>
    </xdr:from>
    <xdr:to>
      <xdr:col>11</xdr:col>
      <xdr:colOff>3773403</xdr:colOff>
      <xdr:row>14</xdr:row>
      <xdr:rowOff>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A2471E-9FDB-BD87-8466-9D86327DC66F}"/>
            </a:ext>
          </a:extLst>
        </xdr:cNvPr>
        <xdr:cNvSpPr/>
      </xdr:nvSpPr>
      <xdr:spPr>
        <a:xfrm>
          <a:off x="5810539" y="2563756"/>
          <a:ext cx="4590492" cy="115764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TOTAL SALES : 4735</a:t>
          </a:r>
        </a:p>
      </xdr:txBody>
    </xdr:sp>
    <xdr:clientData/>
  </xdr:twoCellAnchor>
  <xdr:twoCellAnchor>
    <xdr:from>
      <xdr:col>11</xdr:col>
      <xdr:colOff>5548575</xdr:colOff>
      <xdr:row>7</xdr:row>
      <xdr:rowOff>99393</xdr:rowOff>
    </xdr:from>
    <xdr:to>
      <xdr:col>18</xdr:col>
      <xdr:colOff>119422</xdr:colOff>
      <xdr:row>14</xdr:row>
      <xdr:rowOff>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0FD7524-E31D-E7AB-9454-E8F78B07C055}"/>
            </a:ext>
          </a:extLst>
        </xdr:cNvPr>
        <xdr:cNvSpPr/>
      </xdr:nvSpPr>
      <xdr:spPr>
        <a:xfrm>
          <a:off x="12176203" y="2580323"/>
          <a:ext cx="4654056" cy="1141074"/>
        </a:xfrm>
        <a:prstGeom prst="round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600"/>
            <a:t>TOTAL PROFIT: 723</a:t>
          </a:r>
        </a:p>
      </xdr:txBody>
    </xdr:sp>
    <xdr:clientData/>
  </xdr:twoCellAnchor>
  <xdr:twoCellAnchor>
    <xdr:from>
      <xdr:col>21</xdr:col>
      <xdr:colOff>139069</xdr:colOff>
      <xdr:row>7</xdr:row>
      <xdr:rowOff>100547</xdr:rowOff>
    </xdr:from>
    <xdr:to>
      <xdr:col>28</xdr:col>
      <xdr:colOff>105939</xdr:colOff>
      <xdr:row>13</xdr:row>
      <xdr:rowOff>83983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249A552-1EC1-E6F8-7E29-7D316620BD57}"/>
            </a:ext>
          </a:extLst>
        </xdr:cNvPr>
        <xdr:cNvSpPr/>
      </xdr:nvSpPr>
      <xdr:spPr>
        <a:xfrm>
          <a:off x="18657441" y="2581477"/>
          <a:ext cx="4184451" cy="1046692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600"/>
            <a:t>TOTAL ORDERS : 15</a:t>
          </a:r>
        </a:p>
      </xdr:txBody>
    </xdr:sp>
    <xdr:clientData/>
  </xdr:twoCellAnchor>
  <xdr:twoCellAnchor>
    <xdr:from>
      <xdr:col>31</xdr:col>
      <xdr:colOff>597887</xdr:colOff>
      <xdr:row>7</xdr:row>
      <xdr:rowOff>17721</xdr:rowOff>
    </xdr:from>
    <xdr:to>
      <xdr:col>41</xdr:col>
      <xdr:colOff>359810</xdr:colOff>
      <xdr:row>13</xdr:row>
      <xdr:rowOff>53162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DE1F609-7614-8BF5-D9D5-98B975084B15}"/>
            </a:ext>
          </a:extLst>
        </xdr:cNvPr>
        <xdr:cNvSpPr/>
      </xdr:nvSpPr>
      <xdr:spPr>
        <a:xfrm>
          <a:off x="25141375" y="2498651"/>
          <a:ext cx="5787040" cy="1098697"/>
        </a:xfrm>
        <a:prstGeom prst="round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TOTAL CATEGORY : ELECTRONICS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ju Chowdary" refreshedDate="46228.766860416668" createdVersion="8" refreshedVersion="8" minRefreshableVersion="3" recordCount="15" xr:uid="{BB3AB491-D080-4AA6-8386-0E55CE838C96}">
  <cacheSource type="worksheet">
    <worksheetSource name="Table1"/>
  </cacheSource>
  <cacheFields count="15">
    <cacheField name="Order ID" numFmtId="0">
      <sharedItems/>
    </cacheField>
    <cacheField name="Order Date" numFmtId="0">
      <sharedItems containsDate="1" containsMixedTypes="1" minDate="2025-02-02T00:00:00" maxDate="2025-11-16T00:00:00"/>
    </cacheField>
    <cacheField name="Customer 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Office Supplies"/>
      </sharedItems>
    </cacheField>
    <cacheField name="Sub 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30" maxValue="890"/>
    </cacheField>
    <cacheField name="Quantity" numFmtId="0">
      <sharedItems containsSemiMixedTypes="0" containsString="0" containsNumber="1" containsInteger="1" minValue="1" maxValue="6"/>
    </cacheField>
    <cacheField name="Profit" numFmtId="0">
      <sharedItems containsSemiMixedTypes="0" containsString="0" containsNumber="1" containsInteger="1" minValue="8" maxValue="130"/>
    </cacheField>
    <cacheField name="Discount" numFmtId="0">
      <sharedItems containsSemiMixedTypes="0" containsString="0" containsNumber="1" minValue="0" maxValue="0.2"/>
    </cacheField>
    <cacheField name="Shipping Mode" numFmtId="0">
      <sharedItems count="3">
        <s v="Standard"/>
        <s v="Express"/>
        <s v="Same Day"/>
      </sharedItems>
    </cacheField>
    <cacheField name="Month" numFmtId="0">
      <sharedItems count="7">
        <s v="January"/>
        <s v="February"/>
        <s v="March"/>
        <s v="May"/>
        <s v="July"/>
        <s v="October"/>
        <s v="November"/>
      </sharedItems>
    </cacheField>
    <cacheField name="Year" numFmtId="0">
      <sharedItems containsSemiMixedTypes="0" containsString="0" containsNumber="1" containsInteger="1" minValue="2025" maxValue="2025"/>
    </cacheField>
    <cacheField name="Profit Margin %" numFmtId="9">
      <sharedItems containsSemiMixedTypes="0" containsString="0" containsNumber="1" minValue="0.125" maxValue="0.26666666666666666"/>
    </cacheField>
  </cacheFields>
  <extLst>
    <ext xmlns:x14="http://schemas.microsoft.com/office/spreadsheetml/2009/9/main" uri="{725AE2AE-9491-48be-B2B4-4EB974FC3084}">
      <x14:pivotCacheDefinition pivotCacheId="209575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RD1001"/>
    <s v="01-01-2025"/>
    <s v="Rahul Sharma"/>
    <x v="0"/>
    <x v="0"/>
    <s v="Mobile"/>
    <s v="Samsung Galaxy A15"/>
    <n v="320"/>
    <n v="2"/>
    <n v="40"/>
    <n v="0.1"/>
    <x v="0"/>
    <x v="0"/>
    <n v="2025"/>
    <n v="0.125"/>
  </r>
  <r>
    <s v="ORD1002"/>
    <d v="2025-02-02T00:00:00"/>
    <s v="Priya Reddy"/>
    <x v="1"/>
    <x v="1"/>
    <s v="Chair"/>
    <s v="Office Chair"/>
    <n v="180"/>
    <n v="1"/>
    <n v="25"/>
    <n v="0.05"/>
    <x v="1"/>
    <x v="1"/>
    <n v="2025"/>
    <n v="0.1388888888888889"/>
  </r>
  <r>
    <s v="ORD1003"/>
    <s v="03-01-2025"/>
    <s v="Amit Kumar"/>
    <x v="2"/>
    <x v="2"/>
    <s v="Notebook"/>
    <s v="Spiral Notebook"/>
    <n v="45"/>
    <n v="5"/>
    <n v="12"/>
    <n v="0"/>
    <x v="0"/>
    <x v="0"/>
    <n v="2025"/>
    <n v="0.26666666666666666"/>
  </r>
  <r>
    <s v="ORD1004"/>
    <d v="2025-03-03T00:00:00"/>
    <s v="Sneha Patel"/>
    <x v="3"/>
    <x v="0"/>
    <s v="Laptop"/>
    <s v="HP Pavilion Laptop"/>
    <n v="890"/>
    <n v="1"/>
    <n v="130"/>
    <n v="0.15"/>
    <x v="2"/>
    <x v="2"/>
    <n v="2025"/>
    <n v="0.14606741573033707"/>
  </r>
  <r>
    <s v="ORD1005"/>
    <s v="05-01-2025"/>
    <s v="Arjun Singh"/>
    <x v="0"/>
    <x v="1"/>
    <s v="Table"/>
    <s v="Wooden Study Table"/>
    <n v="260"/>
    <n v="1"/>
    <n v="35"/>
    <n v="0.1"/>
    <x v="0"/>
    <x v="0"/>
    <n v="2025"/>
    <n v="0.13461538461538461"/>
  </r>
  <r>
    <s v="ORD1006"/>
    <d v="2025-05-06T00:00:00"/>
    <s v="Kavya Rao"/>
    <x v="1"/>
    <x v="0"/>
    <s v="Headphones"/>
    <s v="Sony Headphones"/>
    <n v="120"/>
    <n v="2"/>
    <n v="28"/>
    <n v="0.05"/>
    <x v="1"/>
    <x v="3"/>
    <n v="2025"/>
    <n v="0.23333333333333334"/>
  </r>
  <r>
    <s v="ORD1007"/>
    <s v="08-01-2025"/>
    <s v="Rohit Verma"/>
    <x v="2"/>
    <x v="2"/>
    <s v="Printer"/>
    <s v="HP Inkjet Printer"/>
    <n v="210"/>
    <n v="1"/>
    <n v="32"/>
    <n v="0.08"/>
    <x v="0"/>
    <x v="0"/>
    <n v="2025"/>
    <n v="0.15238095238095239"/>
  </r>
  <r>
    <s v="ORD1008"/>
    <d v="2025-07-09T00:00:00"/>
    <s v="Neha Gupta"/>
    <x v="3"/>
    <x v="0"/>
    <s v="Smartwatch"/>
    <s v="Noise Smartwatch"/>
    <n v="160"/>
    <n v="2"/>
    <n v="30"/>
    <n v="0.1"/>
    <x v="0"/>
    <x v="4"/>
    <n v="2025"/>
    <n v="0.1875"/>
  </r>
  <r>
    <s v="ORD1009"/>
    <s v="10-01-2025"/>
    <s v="Anil Das"/>
    <x v="0"/>
    <x v="1"/>
    <s v="Sofa"/>
    <s v="Three Seater Sofa"/>
    <n v="780"/>
    <n v="1"/>
    <n v="120"/>
    <n v="0.2"/>
    <x v="2"/>
    <x v="0"/>
    <n v="2025"/>
    <n v="0.15384615384615385"/>
  </r>
  <r>
    <s v="ORD1010"/>
    <s v="11-01-2025"/>
    <s v="Pooja Nair"/>
    <x v="1"/>
    <x v="2"/>
    <s v="Pen"/>
    <s v="Parker Pen Set"/>
    <n v="55"/>
    <n v="4"/>
    <n v="14"/>
    <n v="0"/>
    <x v="1"/>
    <x v="0"/>
    <n v="2025"/>
    <n v="0.25454545454545452"/>
  </r>
  <r>
    <s v="ORD1011"/>
    <s v="12-01-2025"/>
    <s v="Vivek Jain"/>
    <x v="2"/>
    <x v="0"/>
    <s v="Tablet"/>
    <s v="Lenovo Tablet"/>
    <n v="410"/>
    <n v="1"/>
    <n v="58"/>
    <n v="0.12"/>
    <x v="0"/>
    <x v="0"/>
    <n v="2025"/>
    <n v="0.14146341463414633"/>
  </r>
  <r>
    <s v="ORD1012"/>
    <d v="2025-10-13T00:00:00"/>
    <s v="Meera Iyer"/>
    <x v="3"/>
    <x v="1"/>
    <s v="Bookcase"/>
    <s v="Wooden Bookcase"/>
    <n v="340"/>
    <n v="1"/>
    <n v="52"/>
    <n v="0.1"/>
    <x v="0"/>
    <x v="5"/>
    <n v="2025"/>
    <n v="0.15294117647058825"/>
  </r>
  <r>
    <s v="ORD1013"/>
    <s v="14-01-2025"/>
    <s v="Kiran Raju"/>
    <x v="0"/>
    <x v="0"/>
    <s v="Camera"/>
    <s v="Canon Camera"/>
    <n v="640"/>
    <n v="1"/>
    <n v="95"/>
    <n v="0.15"/>
    <x v="1"/>
    <x v="0"/>
    <n v="2025"/>
    <n v="0.1484375"/>
  </r>
  <r>
    <s v="ORD1014"/>
    <d v="2025-11-15T00:00:00"/>
    <s v="Divya Shah"/>
    <x v="1"/>
    <x v="2"/>
    <s v="Marker"/>
    <s v="Whiteboard Marker"/>
    <n v="30"/>
    <n v="6"/>
    <n v="8"/>
    <n v="0"/>
    <x v="0"/>
    <x v="6"/>
    <n v="2025"/>
    <n v="0.26666666666666666"/>
  </r>
  <r>
    <s v="ORD1015"/>
    <s v="16-01-2025"/>
    <s v="Suresh Babu"/>
    <x v="2"/>
    <x v="1"/>
    <s v="Desk"/>
    <s v="Computer Desk"/>
    <n v="295"/>
    <n v="1"/>
    <n v="44"/>
    <n v="0.08"/>
    <x v="2"/>
    <x v="0"/>
    <n v="2025"/>
    <n v="0.149152542372881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0E1DA-F475-4F4D-92A6-823C0F6554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9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D689C-5A1E-4F29-A70B-69DE8FCCC3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5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26E0B-9135-44C2-8E9F-F2F96BFDEA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9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71A18-F415-469B-99E1-8592F7871D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9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75115-D9B2-422F-9CFC-76D40ACAADE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5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FD06B-6CF3-4D9C-BFBB-C8A6B5E95F91}" name="Table1" displayName="Table1" ref="A1:O16" totalsRowShown="0">
  <autoFilter ref="A1:O16" xr:uid="{B84FD06B-6CF3-4D9C-BFBB-C8A6B5E95F91}"/>
  <tableColumns count="15">
    <tableColumn id="1" xr3:uid="{D32EEC75-1BA5-47E1-99C3-BD45EEB67F64}" name="Order ID"/>
    <tableColumn id="2" xr3:uid="{A0BC147C-1BDC-41D5-9814-7EB0F23286DE}" name="Order Date"/>
    <tableColumn id="3" xr3:uid="{1F217E1E-97EE-4ECB-A085-CB2DF176FA7A}" name="Customer Name"/>
    <tableColumn id="4" xr3:uid="{9CE5C8BC-19D0-48FE-9F23-7D50CA0E9C0B}" name="Region"/>
    <tableColumn id="5" xr3:uid="{C2D61723-4579-43DC-B660-206BDBB59504}" name="Category"/>
    <tableColumn id="6" xr3:uid="{631D8EBE-F900-4070-B24A-09DECB0BFEFC}" name="Sub Category"/>
    <tableColumn id="7" xr3:uid="{5D608E82-BE59-4233-A784-D1DFA1A0630F}" name="Product Name"/>
    <tableColumn id="8" xr3:uid="{EE19F447-8398-487E-8927-90C8A40F0140}" name="Sales"/>
    <tableColumn id="9" xr3:uid="{7BE3ECC3-FF6C-4423-AC42-D247C84B6EC9}" name="Quantity"/>
    <tableColumn id="10" xr3:uid="{24E19F8A-0725-4BC1-9A34-ACFE404E992B}" name="Profit"/>
    <tableColumn id="11" xr3:uid="{B1C946D3-D722-460E-8ECC-E12DCDD3F0A9}" name="Discount"/>
    <tableColumn id="12" xr3:uid="{B27C726D-15BC-46C2-96FD-143C1B30BEBE}" name="Shipping Mode"/>
    <tableColumn id="13" xr3:uid="{4DA9537C-DF2B-49A5-9A23-898A0183E9FE}" name="Month" dataDxfId="1">
      <calculatedColumnFormula>TEXT(B2,"mmmm")</calculatedColumnFormula>
    </tableColumn>
    <tableColumn id="14" xr3:uid="{ED5A9CF5-41C2-4969-8A46-472937C30BFD}" name="Year" dataDxfId="0">
      <calculatedColumnFormula>YEAR(B2)</calculatedColumnFormula>
    </tableColumn>
    <tableColumn id="15" xr3:uid="{178B74FB-F691-4B88-BEC5-0695262A8CEF}" name="Profit Margin %" dataCellStyle="Percent">
      <calculatedColumnFormula>J2/H2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1294-2838-49AA-B6E3-CCC4ADBEEE35}">
  <dimension ref="A3:B7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2" t="s">
        <v>94</v>
      </c>
      <c r="B3" t="s">
        <v>96</v>
      </c>
    </row>
    <row r="4" spans="1:2" x14ac:dyDescent="0.3">
      <c r="A4" s="3" t="s">
        <v>16</v>
      </c>
      <c r="B4" s="10">
        <v>2540</v>
      </c>
    </row>
    <row r="5" spans="1:2" x14ac:dyDescent="0.3">
      <c r="A5" s="3" t="s">
        <v>23</v>
      </c>
      <c r="B5" s="10">
        <v>1855</v>
      </c>
    </row>
    <row r="6" spans="1:2" x14ac:dyDescent="0.3">
      <c r="A6" s="3" t="s">
        <v>31</v>
      </c>
      <c r="B6" s="10">
        <v>340</v>
      </c>
    </row>
    <row r="7" spans="1:2" x14ac:dyDescent="0.3">
      <c r="A7" s="3" t="s">
        <v>95</v>
      </c>
      <c r="B7" s="10">
        <v>4735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1EAC-81F5-419C-B60A-649E9A7A371A}">
  <dimension ref="A3:B8"/>
  <sheetViews>
    <sheetView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94</v>
      </c>
      <c r="B3" t="s">
        <v>96</v>
      </c>
    </row>
    <row r="4" spans="1:2" x14ac:dyDescent="0.3">
      <c r="A4" s="3" t="s">
        <v>30</v>
      </c>
      <c r="B4">
        <v>960</v>
      </c>
    </row>
    <row r="5" spans="1:2" x14ac:dyDescent="0.3">
      <c r="A5" s="3" t="s">
        <v>15</v>
      </c>
      <c r="B5">
        <v>2000</v>
      </c>
    </row>
    <row r="6" spans="1:2" x14ac:dyDescent="0.3">
      <c r="A6" s="3" t="s">
        <v>22</v>
      </c>
      <c r="B6">
        <v>385</v>
      </c>
    </row>
    <row r="7" spans="1:2" x14ac:dyDescent="0.3">
      <c r="A7" s="3" t="s">
        <v>36</v>
      </c>
      <c r="B7">
        <v>1390</v>
      </c>
    </row>
    <row r="8" spans="1:2" x14ac:dyDescent="0.3">
      <c r="A8" s="3" t="s">
        <v>95</v>
      </c>
      <c r="B8">
        <v>4735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556B-4027-4474-B777-50C5AAD060D7}">
  <dimension ref="A3:B7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94</v>
      </c>
      <c r="B3" t="s">
        <v>96</v>
      </c>
    </row>
    <row r="4" spans="1:2" x14ac:dyDescent="0.3">
      <c r="A4" s="3" t="s">
        <v>26</v>
      </c>
      <c r="B4">
        <v>995</v>
      </c>
    </row>
    <row r="5" spans="1:2" x14ac:dyDescent="0.3">
      <c r="A5" s="3" t="s">
        <v>39</v>
      </c>
      <c r="B5">
        <v>1965</v>
      </c>
    </row>
    <row r="6" spans="1:2" x14ac:dyDescent="0.3">
      <c r="A6" s="3" t="s">
        <v>19</v>
      </c>
      <c r="B6">
        <v>1775</v>
      </c>
    </row>
    <row r="7" spans="1:2" x14ac:dyDescent="0.3">
      <c r="A7" s="3" t="s">
        <v>95</v>
      </c>
      <c r="B7">
        <v>4735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7494-D89F-486F-81B2-EF4EB5F07EDB}">
  <dimension ref="A3:B11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94</v>
      </c>
      <c r="B3" t="s">
        <v>96</v>
      </c>
    </row>
    <row r="4" spans="1:2" x14ac:dyDescent="0.3">
      <c r="A4" s="3" t="s">
        <v>97</v>
      </c>
      <c r="B4">
        <v>3015</v>
      </c>
    </row>
    <row r="5" spans="1:2" x14ac:dyDescent="0.3">
      <c r="A5" s="3" t="s">
        <v>99</v>
      </c>
      <c r="B5">
        <v>180</v>
      </c>
    </row>
    <row r="6" spans="1:2" x14ac:dyDescent="0.3">
      <c r="A6" s="3" t="s">
        <v>100</v>
      </c>
      <c r="B6">
        <v>890</v>
      </c>
    </row>
    <row r="7" spans="1:2" x14ac:dyDescent="0.3">
      <c r="A7" s="3" t="s">
        <v>101</v>
      </c>
      <c r="B7">
        <v>120</v>
      </c>
    </row>
    <row r="8" spans="1:2" x14ac:dyDescent="0.3">
      <c r="A8" s="3" t="s">
        <v>102</v>
      </c>
      <c r="B8">
        <v>160</v>
      </c>
    </row>
    <row r="9" spans="1:2" x14ac:dyDescent="0.3">
      <c r="A9" s="3" t="s">
        <v>103</v>
      </c>
      <c r="B9">
        <v>340</v>
      </c>
    </row>
    <row r="10" spans="1:2" x14ac:dyDescent="0.3">
      <c r="A10" s="3" t="s">
        <v>104</v>
      </c>
      <c r="B10">
        <v>30</v>
      </c>
    </row>
    <row r="11" spans="1:2" x14ac:dyDescent="0.3">
      <c r="A11" s="3" t="s">
        <v>95</v>
      </c>
      <c r="B11">
        <v>4735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D211-7387-4DE7-B6BE-16731E9A0492}">
  <dimension ref="A3:B7"/>
  <sheetViews>
    <sheetView workbookViewId="0">
      <selection activeCell="M11" sqref="M11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2" t="s">
        <v>94</v>
      </c>
      <c r="B3" t="s">
        <v>98</v>
      </c>
    </row>
    <row r="4" spans="1:2" x14ac:dyDescent="0.3">
      <c r="A4" s="3" t="s">
        <v>16</v>
      </c>
      <c r="B4">
        <v>381</v>
      </c>
    </row>
    <row r="5" spans="1:2" x14ac:dyDescent="0.3">
      <c r="A5" s="3" t="s">
        <v>23</v>
      </c>
      <c r="B5">
        <v>276</v>
      </c>
    </row>
    <row r="6" spans="1:2" x14ac:dyDescent="0.3">
      <c r="A6" s="3" t="s">
        <v>31</v>
      </c>
      <c r="B6">
        <v>66</v>
      </c>
    </row>
    <row r="7" spans="1:2" x14ac:dyDescent="0.3">
      <c r="A7" s="3" t="s">
        <v>95</v>
      </c>
      <c r="B7">
        <v>723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9BA9-B15A-4685-BF85-DD1AB1BBE9F5}">
  <dimension ref="K6:AH34"/>
  <sheetViews>
    <sheetView showGridLines="0" tabSelected="1" topLeftCell="C1" zoomScale="43" zoomScaleNormal="50" workbookViewId="0">
      <selection activeCell="AM48" sqref="AM48"/>
    </sheetView>
  </sheetViews>
  <sheetFormatPr defaultRowHeight="14.4" x14ac:dyDescent="0.3"/>
  <cols>
    <col min="12" max="12" width="94.33203125" customWidth="1"/>
    <col min="24" max="24" width="8.88671875" customWidth="1"/>
  </cols>
  <sheetData>
    <row r="6" spans="14:24" ht="63.6" x14ac:dyDescent="1.3">
      <c r="N6" s="8" t="s">
        <v>105</v>
      </c>
      <c r="O6" s="9"/>
      <c r="P6" s="9"/>
      <c r="Q6" s="9"/>
      <c r="R6" s="9"/>
      <c r="S6" s="9"/>
      <c r="T6" s="9"/>
      <c r="U6" s="9"/>
      <c r="V6" s="9"/>
      <c r="W6" s="9"/>
      <c r="X6" s="6"/>
    </row>
    <row r="7" spans="14:24" ht="61.2" x14ac:dyDescent="1.1000000000000001">
      <c r="N7" s="9"/>
      <c r="O7" s="9"/>
      <c r="P7" s="9"/>
      <c r="Q7" s="9"/>
      <c r="R7" s="9"/>
      <c r="S7" s="9"/>
      <c r="T7" s="9"/>
      <c r="U7" s="9"/>
      <c r="V7" s="9"/>
      <c r="W7" s="9"/>
    </row>
    <row r="20" spans="11:11" ht="23.4" x14ac:dyDescent="0.45">
      <c r="K20" s="7"/>
    </row>
    <row r="34" spans="34:34" ht="18" x14ac:dyDescent="0.35">
      <c r="AH34" s="5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L19" sqref="L19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5" max="5" width="10.44140625" customWidth="1"/>
    <col min="6" max="6" width="14.109375" customWidth="1"/>
    <col min="7" max="7" width="15" customWidth="1"/>
    <col min="9" max="9" width="10.21875" customWidth="1"/>
    <col min="11" max="11" width="10.21875" customWidth="1"/>
    <col min="12" max="12" width="15.6640625" customWidth="1"/>
    <col min="15" max="15" width="16.33203125" style="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91</v>
      </c>
      <c r="N1" t="s">
        <v>92</v>
      </c>
      <c r="O1" s="1" t="s">
        <v>93</v>
      </c>
    </row>
    <row r="2" spans="1:15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320</v>
      </c>
      <c r="I2">
        <v>2</v>
      </c>
      <c r="J2">
        <v>40</v>
      </c>
      <c r="K2">
        <v>0.1</v>
      </c>
      <c r="L2" t="s">
        <v>19</v>
      </c>
      <c r="M2" t="str">
        <f t="shared" ref="M2:M16" si="0">TEXT(B2,"mmmm")</f>
        <v>January</v>
      </c>
      <c r="N2">
        <f t="shared" ref="N2:N16" si="1">YEAR(B2)</f>
        <v>2025</v>
      </c>
      <c r="O2" s="1">
        <f t="shared" ref="O2:O16" si="2">J2/H2</f>
        <v>0.125</v>
      </c>
    </row>
    <row r="3" spans="1:15" x14ac:dyDescent="0.3">
      <c r="A3" t="s">
        <v>20</v>
      </c>
      <c r="B3" s="4">
        <v>45690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180</v>
      </c>
      <c r="I3">
        <v>1</v>
      </c>
      <c r="J3">
        <v>25</v>
      </c>
      <c r="K3">
        <v>0.05</v>
      </c>
      <c r="L3" t="s">
        <v>26</v>
      </c>
      <c r="M3" t="str">
        <f t="shared" si="0"/>
        <v>February</v>
      </c>
      <c r="N3">
        <f t="shared" si="1"/>
        <v>2025</v>
      </c>
      <c r="O3" s="1">
        <f t="shared" si="2"/>
        <v>0.1388888888888889</v>
      </c>
    </row>
    <row r="4" spans="1:15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45</v>
      </c>
      <c r="I4">
        <v>5</v>
      </c>
      <c r="J4">
        <v>12</v>
      </c>
      <c r="K4">
        <v>0</v>
      </c>
      <c r="L4" t="s">
        <v>19</v>
      </c>
      <c r="M4" t="str">
        <f t="shared" si="0"/>
        <v>January</v>
      </c>
      <c r="N4">
        <f t="shared" si="1"/>
        <v>2025</v>
      </c>
      <c r="O4" s="1">
        <f t="shared" si="2"/>
        <v>0.26666666666666666</v>
      </c>
    </row>
    <row r="5" spans="1:15" x14ac:dyDescent="0.3">
      <c r="A5" t="s">
        <v>34</v>
      </c>
      <c r="B5" s="4">
        <v>45719</v>
      </c>
      <c r="C5" t="s">
        <v>35</v>
      </c>
      <c r="D5" t="s">
        <v>36</v>
      </c>
      <c r="E5" t="s">
        <v>16</v>
      </c>
      <c r="F5" t="s">
        <v>37</v>
      </c>
      <c r="G5" t="s">
        <v>38</v>
      </c>
      <c r="H5">
        <v>890</v>
      </c>
      <c r="I5">
        <v>1</v>
      </c>
      <c r="J5">
        <v>130</v>
      </c>
      <c r="K5">
        <v>0.15</v>
      </c>
      <c r="L5" t="s">
        <v>39</v>
      </c>
      <c r="M5" t="str">
        <f t="shared" si="0"/>
        <v>March</v>
      </c>
      <c r="N5">
        <f t="shared" si="1"/>
        <v>2025</v>
      </c>
      <c r="O5" s="1">
        <f t="shared" si="2"/>
        <v>0.14606741573033707</v>
      </c>
    </row>
    <row r="6" spans="1:15" x14ac:dyDescent="0.3">
      <c r="A6" t="s">
        <v>40</v>
      </c>
      <c r="B6" t="s">
        <v>41</v>
      </c>
      <c r="C6" t="s">
        <v>42</v>
      </c>
      <c r="D6" t="s">
        <v>15</v>
      </c>
      <c r="E6" t="s">
        <v>23</v>
      </c>
      <c r="F6" t="s">
        <v>43</v>
      </c>
      <c r="G6" t="s">
        <v>44</v>
      </c>
      <c r="H6">
        <v>260</v>
      </c>
      <c r="I6">
        <v>1</v>
      </c>
      <c r="J6">
        <v>35</v>
      </c>
      <c r="K6">
        <v>0.1</v>
      </c>
      <c r="L6" t="s">
        <v>19</v>
      </c>
      <c r="M6" t="str">
        <f t="shared" si="0"/>
        <v>January</v>
      </c>
      <c r="N6">
        <f t="shared" si="1"/>
        <v>2025</v>
      </c>
      <c r="O6" s="1">
        <f t="shared" si="2"/>
        <v>0.13461538461538461</v>
      </c>
    </row>
    <row r="7" spans="1:15" x14ac:dyDescent="0.3">
      <c r="A7" t="s">
        <v>45</v>
      </c>
      <c r="B7" s="4">
        <v>45783</v>
      </c>
      <c r="C7" t="s">
        <v>46</v>
      </c>
      <c r="D7" t="s">
        <v>22</v>
      </c>
      <c r="E7" t="s">
        <v>16</v>
      </c>
      <c r="F7" t="s">
        <v>47</v>
      </c>
      <c r="G7" t="s">
        <v>48</v>
      </c>
      <c r="H7">
        <v>120</v>
      </c>
      <c r="I7">
        <v>2</v>
      </c>
      <c r="J7">
        <v>28</v>
      </c>
      <c r="K7">
        <v>0.05</v>
      </c>
      <c r="L7" t="s">
        <v>26</v>
      </c>
      <c r="M7" t="str">
        <f t="shared" si="0"/>
        <v>May</v>
      </c>
      <c r="N7">
        <f t="shared" si="1"/>
        <v>2025</v>
      </c>
      <c r="O7" s="1">
        <f t="shared" si="2"/>
        <v>0.23333333333333334</v>
      </c>
    </row>
    <row r="8" spans="1:15" x14ac:dyDescent="0.3">
      <c r="A8" t="s">
        <v>49</v>
      </c>
      <c r="B8" t="s">
        <v>50</v>
      </c>
      <c r="C8" t="s">
        <v>51</v>
      </c>
      <c r="D8" t="s">
        <v>30</v>
      </c>
      <c r="E8" t="s">
        <v>31</v>
      </c>
      <c r="F8" t="s">
        <v>52</v>
      </c>
      <c r="G8" t="s">
        <v>53</v>
      </c>
      <c r="H8">
        <v>210</v>
      </c>
      <c r="I8">
        <v>1</v>
      </c>
      <c r="J8">
        <v>32</v>
      </c>
      <c r="K8">
        <v>0.08</v>
      </c>
      <c r="L8" t="s">
        <v>19</v>
      </c>
      <c r="M8" t="str">
        <f t="shared" si="0"/>
        <v>January</v>
      </c>
      <c r="N8">
        <f t="shared" si="1"/>
        <v>2025</v>
      </c>
      <c r="O8" s="1">
        <f t="shared" si="2"/>
        <v>0.15238095238095239</v>
      </c>
    </row>
    <row r="9" spans="1:15" x14ac:dyDescent="0.3">
      <c r="A9" t="s">
        <v>54</v>
      </c>
      <c r="B9" s="4">
        <v>45847</v>
      </c>
      <c r="C9" t="s">
        <v>55</v>
      </c>
      <c r="D9" t="s">
        <v>36</v>
      </c>
      <c r="E9" t="s">
        <v>16</v>
      </c>
      <c r="F9" t="s">
        <v>56</v>
      </c>
      <c r="G9" t="s">
        <v>57</v>
      </c>
      <c r="H9">
        <v>160</v>
      </c>
      <c r="I9">
        <v>2</v>
      </c>
      <c r="J9">
        <v>30</v>
      </c>
      <c r="K9">
        <v>0.1</v>
      </c>
      <c r="L9" t="s">
        <v>19</v>
      </c>
      <c r="M9" t="str">
        <f t="shared" si="0"/>
        <v>July</v>
      </c>
      <c r="N9">
        <f t="shared" si="1"/>
        <v>2025</v>
      </c>
      <c r="O9" s="1">
        <f t="shared" si="2"/>
        <v>0.1875</v>
      </c>
    </row>
    <row r="10" spans="1:15" x14ac:dyDescent="0.3">
      <c r="A10" t="s">
        <v>58</v>
      </c>
      <c r="B10" t="s">
        <v>59</v>
      </c>
      <c r="C10" t="s">
        <v>60</v>
      </c>
      <c r="D10" t="s">
        <v>15</v>
      </c>
      <c r="E10" t="s">
        <v>23</v>
      </c>
      <c r="F10" t="s">
        <v>61</v>
      </c>
      <c r="G10" t="s">
        <v>62</v>
      </c>
      <c r="H10">
        <v>780</v>
      </c>
      <c r="I10">
        <v>1</v>
      </c>
      <c r="J10">
        <v>120</v>
      </c>
      <c r="K10">
        <v>0.2</v>
      </c>
      <c r="L10" t="s">
        <v>39</v>
      </c>
      <c r="M10" t="str">
        <f t="shared" si="0"/>
        <v>January</v>
      </c>
      <c r="N10">
        <f t="shared" si="1"/>
        <v>2025</v>
      </c>
      <c r="O10" s="1">
        <f t="shared" si="2"/>
        <v>0.15384615384615385</v>
      </c>
    </row>
    <row r="11" spans="1:15" x14ac:dyDescent="0.3">
      <c r="A11" t="s">
        <v>63</v>
      </c>
      <c r="B11" t="s">
        <v>64</v>
      </c>
      <c r="C11" t="s">
        <v>65</v>
      </c>
      <c r="D11" t="s">
        <v>22</v>
      </c>
      <c r="E11" t="s">
        <v>31</v>
      </c>
      <c r="F11" t="s">
        <v>66</v>
      </c>
      <c r="G11" t="s">
        <v>67</v>
      </c>
      <c r="H11">
        <v>55</v>
      </c>
      <c r="I11">
        <v>4</v>
      </c>
      <c r="J11">
        <v>14</v>
      </c>
      <c r="K11">
        <v>0</v>
      </c>
      <c r="L11" t="s">
        <v>26</v>
      </c>
      <c r="M11" t="str">
        <f t="shared" si="0"/>
        <v>January</v>
      </c>
      <c r="N11">
        <f t="shared" si="1"/>
        <v>2025</v>
      </c>
      <c r="O11" s="1">
        <f t="shared" si="2"/>
        <v>0.25454545454545452</v>
      </c>
    </row>
    <row r="12" spans="1:15" x14ac:dyDescent="0.3">
      <c r="A12" t="s">
        <v>68</v>
      </c>
      <c r="B12" t="s">
        <v>69</v>
      </c>
      <c r="C12" t="s">
        <v>70</v>
      </c>
      <c r="D12" t="s">
        <v>30</v>
      </c>
      <c r="E12" t="s">
        <v>16</v>
      </c>
      <c r="F12" t="s">
        <v>71</v>
      </c>
      <c r="G12" t="s">
        <v>72</v>
      </c>
      <c r="H12">
        <v>410</v>
      </c>
      <c r="I12">
        <v>1</v>
      </c>
      <c r="J12">
        <v>58</v>
      </c>
      <c r="K12">
        <v>0.12</v>
      </c>
      <c r="L12" t="s">
        <v>19</v>
      </c>
      <c r="M12" t="str">
        <f t="shared" si="0"/>
        <v>January</v>
      </c>
      <c r="N12">
        <f t="shared" si="1"/>
        <v>2025</v>
      </c>
      <c r="O12" s="1">
        <f t="shared" si="2"/>
        <v>0.14146341463414633</v>
      </c>
    </row>
    <row r="13" spans="1:15" x14ac:dyDescent="0.3">
      <c r="A13" t="s">
        <v>73</v>
      </c>
      <c r="B13" s="4">
        <v>45943</v>
      </c>
      <c r="C13" t="s">
        <v>74</v>
      </c>
      <c r="D13" t="s">
        <v>36</v>
      </c>
      <c r="E13" t="s">
        <v>23</v>
      </c>
      <c r="F13" t="s">
        <v>75</v>
      </c>
      <c r="G13" t="s">
        <v>76</v>
      </c>
      <c r="H13">
        <v>340</v>
      </c>
      <c r="I13">
        <v>1</v>
      </c>
      <c r="J13">
        <v>52</v>
      </c>
      <c r="K13">
        <v>0.1</v>
      </c>
      <c r="L13" t="s">
        <v>19</v>
      </c>
      <c r="M13" t="str">
        <f t="shared" si="0"/>
        <v>October</v>
      </c>
      <c r="N13">
        <f t="shared" si="1"/>
        <v>2025</v>
      </c>
      <c r="O13" s="1">
        <f t="shared" si="2"/>
        <v>0.15294117647058825</v>
      </c>
    </row>
    <row r="14" spans="1:15" x14ac:dyDescent="0.3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80</v>
      </c>
      <c r="G14" t="s">
        <v>81</v>
      </c>
      <c r="H14">
        <v>640</v>
      </c>
      <c r="I14">
        <v>1</v>
      </c>
      <c r="J14">
        <v>95</v>
      </c>
      <c r="K14">
        <v>0.15</v>
      </c>
      <c r="L14" t="s">
        <v>26</v>
      </c>
      <c r="M14" t="str">
        <f t="shared" si="0"/>
        <v>January</v>
      </c>
      <c r="N14">
        <f t="shared" si="1"/>
        <v>2025</v>
      </c>
      <c r="O14" s="1">
        <f t="shared" si="2"/>
        <v>0.1484375</v>
      </c>
    </row>
    <row r="15" spans="1:15" x14ac:dyDescent="0.3">
      <c r="A15" t="s">
        <v>82</v>
      </c>
      <c r="B15" s="4">
        <v>45976</v>
      </c>
      <c r="C15" t="s">
        <v>83</v>
      </c>
      <c r="D15" t="s">
        <v>22</v>
      </c>
      <c r="E15" t="s">
        <v>31</v>
      </c>
      <c r="F15" t="s">
        <v>84</v>
      </c>
      <c r="G15" t="s">
        <v>85</v>
      </c>
      <c r="H15">
        <v>30</v>
      </c>
      <c r="I15">
        <v>6</v>
      </c>
      <c r="J15">
        <v>8</v>
      </c>
      <c r="K15">
        <v>0</v>
      </c>
      <c r="L15" t="s">
        <v>19</v>
      </c>
      <c r="M15" t="str">
        <f t="shared" si="0"/>
        <v>November</v>
      </c>
      <c r="N15">
        <f t="shared" si="1"/>
        <v>2025</v>
      </c>
      <c r="O15" s="1">
        <f t="shared" si="2"/>
        <v>0.26666666666666666</v>
      </c>
    </row>
    <row r="16" spans="1:15" x14ac:dyDescent="0.3">
      <c r="A16" t="s">
        <v>86</v>
      </c>
      <c r="B16" t="s">
        <v>87</v>
      </c>
      <c r="C16" t="s">
        <v>88</v>
      </c>
      <c r="D16" t="s">
        <v>30</v>
      </c>
      <c r="E16" t="s">
        <v>23</v>
      </c>
      <c r="F16" t="s">
        <v>89</v>
      </c>
      <c r="G16" t="s">
        <v>90</v>
      </c>
      <c r="H16">
        <v>295</v>
      </c>
      <c r="I16">
        <v>1</v>
      </c>
      <c r="J16">
        <v>44</v>
      </c>
      <c r="K16">
        <v>0.08</v>
      </c>
      <c r="L16" t="s">
        <v>39</v>
      </c>
      <c r="M16" t="str">
        <f t="shared" si="0"/>
        <v>January</v>
      </c>
      <c r="N16">
        <f t="shared" si="1"/>
        <v>2025</v>
      </c>
      <c r="O16" s="1">
        <f t="shared" si="2"/>
        <v>0.14915254237288136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Sheet7</vt:lpstr>
      <vt:lpstr>Dashboard</vt:lpstr>
      <vt:lpstr>EcommerceData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 Chowdary</cp:lastModifiedBy>
  <cp:lastPrinted>2026-07-25T13:55:08Z</cp:lastPrinted>
  <dcterms:created xsi:type="dcterms:W3CDTF">2026-07-25T11:24:13Z</dcterms:created>
  <dcterms:modified xsi:type="dcterms:W3CDTF">2026-07-25T14:30:53Z</dcterms:modified>
</cp:coreProperties>
</file>